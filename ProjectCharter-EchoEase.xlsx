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oa\Desktop\"/>
    </mc:Choice>
  </mc:AlternateContent>
  <xr:revisionPtr revIDLastSave="0" documentId="13_ncr:1_{FBF16485-F4AA-46D4-8D73-74AD494ECEDD}" xr6:coauthVersionLast="47" xr6:coauthVersionMax="47" xr10:uidLastSave="{00000000-0000-0000-0000-000000000000}"/>
  <bookViews>
    <workbookView xWindow="-120" yWindow="330" windowWidth="19440" windowHeight="14190" tabRatio="664" firstSheet="3" activeTab="7" xr2:uid="{D307BA28-3551-4384-8CF1-AE058CB07701}"/>
  </bookViews>
  <sheets>
    <sheet name="MauForm" sheetId="6" r:id="rId1"/>
    <sheet name="Tên dự án" sheetId="1" r:id="rId2"/>
    <sheet name="Người quản lý dự án" sheetId="3" r:id="rId3"/>
    <sheet name="Muc tiêu dự án" sheetId="4" r:id="rId4"/>
    <sheet name="Phạm vi dự án" sheetId="5" r:id="rId5"/>
    <sheet name="Thời gian dự kiến" sheetId="7" r:id="rId6"/>
    <sheet name="Chi phí" sheetId="8" r:id="rId7"/>
    <sheet name="Ràng buộc" sheetId="9" r:id="rId8"/>
    <sheet name="Rủi ro" sheetId="10" r:id="rId9"/>
    <sheet name="Các bên liên quan" sheetId="11" r:id="rId10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4" i="8" l="1"/>
</calcChain>
</file>

<file path=xl/sharedStrings.xml><?xml version="1.0" encoding="utf-8"?>
<sst xmlns="http://schemas.openxmlformats.org/spreadsheetml/2006/main" count="256" uniqueCount="170">
  <si>
    <t xml:space="preserve">Tên dự án </t>
  </si>
  <si>
    <t>Mã số tài liệu</t>
  </si>
  <si>
    <t>Mô tả dự án</t>
  </si>
  <si>
    <t>Phiên bản</t>
  </si>
  <si>
    <t>Người cập nhật:</t>
  </si>
  <si>
    <t>&lt;Ma số nhân viên&gt;</t>
  </si>
  <si>
    <t>&lt;Họ tên đầy đủ&gt;</t>
  </si>
  <si>
    <t>Mô tả :</t>
  </si>
  <si>
    <t>STT</t>
  </si>
  <si>
    <t>…</t>
  </si>
  <si>
    <t>Mail</t>
  </si>
  <si>
    <t>Tên PM</t>
  </si>
  <si>
    <t>Ngày tiếp nhận dự án</t>
  </si>
  <si>
    <t>Đăc quyền (nếu có):</t>
  </si>
  <si>
    <t>Ngày tiếp
 nhận dự án</t>
  </si>
  <si>
    <t>Chức vụ</t>
  </si>
  <si>
    <t>Học vị
Học Hàm</t>
  </si>
  <si>
    <t>Địa chị liên hệ</t>
  </si>
  <si>
    <t>Đặc quyền</t>
  </si>
  <si>
    <t>Mục tiêu tổng quát</t>
  </si>
  <si>
    <t>Chi tiết:</t>
  </si>
  <si>
    <t>Mô tả</t>
  </si>
  <si>
    <t>Mục tiêu</t>
  </si>
  <si>
    <t>cookie</t>
  </si>
  <si>
    <t>Thuộc phạm vi dự án</t>
  </si>
  <si>
    <t>Không thuôc phạm vi dự án</t>
  </si>
  <si>
    <t>Địa lý - không gian</t>
  </si>
  <si>
    <t>"Công nghệ"</t>
  </si>
  <si>
    <t>Chức năng</t>
  </si>
  <si>
    <t>291020250822</t>
  </si>
  <si>
    <t>Tổng thể dự án</t>
  </si>
  <si>
    <t>Thời gian</t>
  </si>
  <si>
    <t>Đơn vị thời gian</t>
  </si>
  <si>
    <t>stt</t>
  </si>
  <si>
    <t xml:space="preserve">Sự kiện </t>
  </si>
  <si>
    <t>ngày</t>
  </si>
  <si>
    <t>Chi phí phát triển WEB</t>
  </si>
  <si>
    <t>291020250916</t>
  </si>
  <si>
    <t>Phân bổ</t>
  </si>
  <si>
    <t>Nội dung giải ngân</t>
  </si>
  <si>
    <t>Web</t>
  </si>
  <si>
    <t xml:space="preserve">Thu Thập &amp; xây dựng ngư liệu </t>
  </si>
  <si>
    <t xml:space="preserve">Quản lý </t>
  </si>
  <si>
    <t>Vận hành</t>
  </si>
  <si>
    <t>Đơn vị</t>
  </si>
  <si>
    <t>VNĐ</t>
  </si>
  <si>
    <t>Chi phí rủi ro</t>
  </si>
  <si>
    <t>Ràng buộc về tài chính</t>
  </si>
  <si>
    <t>ràng buộc về chính sách 
&amp; pháp luật</t>
  </si>
  <si>
    <t>chi chú</t>
  </si>
  <si>
    <t>Dự án chịu chi phối của:</t>
  </si>
  <si>
    <t xml:space="preserve">Mã </t>
  </si>
  <si>
    <t>Tên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</si>
  <si>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</si>
  <si>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</si>
  <si>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</si>
  <si>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</si>
  <si>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</si>
  <si>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</si>
  <si>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</si>
  <si>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</si>
  <si>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</si>
  <si>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</si>
  <si>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</si>
  <si>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tên</t>
  </si>
  <si>
    <t>Giới thiêu</t>
  </si>
  <si>
    <t>thông tin liên lạc</t>
  </si>
  <si>
    <t>Dự án thành công</t>
  </si>
  <si>
    <t>Dự án thất bại</t>
  </si>
  <si>
    <t>tác đông tiêu cực đến dự án</t>
  </si>
  <si>
    <t>Tác động tiêu cực đến dự án</t>
  </si>
  <si>
    <t>EchoEase</t>
  </si>
  <si>
    <t>Phát triển hệ thống giúp người dùng luyện tập kỹ năng nghe và viết thông qua dictation</t>
  </si>
  <si>
    <t>Trần Y Khoa</t>
  </si>
  <si>
    <t>- Chức vụ : Sinh Viên
- Học vị/học hàm: Sinh viên khoa CNTT 
- Thành tích cá nhân (đã từng chủ trì những dự án nào)
- Mail : khoa08922@gmail.com
-Số điện thoại: 0912320957</t>
  </si>
  <si>
    <t>Thành tích</t>
  </si>
  <si>
    <t>SĐT</t>
  </si>
  <si>
    <t>Tạo ra một trang web giúp người dùng luyện kỹ năng nghe và viết tiếng Anh</t>
  </si>
  <si>
    <t>Xây dựng dữ liệu dictate</t>
  </si>
  <si>
    <t>- Youtube
- Audio mp3
- Các bài nghe IELTS - TOEIC
- ….</t>
  </si>
  <si>
    <t>Cá nhân hóa các bài luyện nghe yêu thích</t>
  </si>
  <si>
    <t>Tạo phần comment bên dưới mỗi bài nghe để người dùng có thể trao đổi và nêu ra ý kiến.</t>
  </si>
  <si>
    <t>Cung cấp tính năng theo dõi tiến trình luyện tập.</t>
  </si>
  <si>
    <t>Sử dụng biểu đồ Gantt</t>
  </si>
  <si>
    <t>Phạm vi EchoEase</t>
  </si>
  <si>
    <t>220330102005</t>
  </si>
  <si>
    <r>
      <rPr>
        <b/>
        <sz val="11"/>
        <color theme="1"/>
        <rFont val="Calibri"/>
        <family val="2"/>
        <scheme val="minor"/>
      </rPr>
      <t>Địa lý: web</t>
    </r>
    <r>
      <rPr>
        <sz val="11"/>
        <color theme="1"/>
        <rFont val="Calibri"/>
        <family val="2"/>
        <scheme val="minor"/>
      </rPr>
      <t xml:space="preserve"> sẽ triển khai tại Việt Nam.</t>
    </r>
  </si>
  <si>
    <t>Gia đoạn 1: MVP CORE</t>
  </si>
  <si>
    <r>
      <rPr>
        <b/>
        <sz val="11"/>
        <color theme="1"/>
        <rFont val="Calibri"/>
        <family val="2"/>
        <scheme val="minor"/>
      </rPr>
      <t>Chức năng phải xây dựng cho Web (*)</t>
    </r>
    <r>
      <rPr>
        <sz val="11"/>
        <color theme="1"/>
        <rFont val="Calibri"/>
        <family val="2"/>
        <scheme val="minor"/>
      </rPr>
      <t xml:space="preserve">
a.	Đăng ký/Đăng nhập.(Email/Social)
b.	Danh sách bài học(filter theo level,chủ đề,tìm kiếm từ khóa)
c.	Trang nghe, viết chính.
d.	Audio player(play/pause, thanh tiến trình, tua nhanh,..)
f.	Ô nhập dictation(Text area cho user nhập nội dung nghe được.
g.	Tự động phát hiện lỗi sai(So sánh transcript chuẩn so với user input, tính % chính xác.
h.Lưu tiến độ người dùng(ghi nhận bài làm, % hoàn thành, ngày làm).</t>
    </r>
  </si>
  <si>
    <r>
      <rPr>
        <b/>
        <sz val="11"/>
        <color theme="1"/>
        <rFont val="Calibri"/>
        <family val="2"/>
        <scheme val="minor"/>
      </rPr>
      <t xml:space="preserve">Địa lý: </t>
    </r>
    <r>
      <rPr>
        <sz val="11"/>
        <color theme="1"/>
        <rFont val="Calibri"/>
        <family val="2"/>
        <scheme val="minor"/>
      </rPr>
      <t>dịch vụ sẽ triển khai tại Việt Nam.</t>
    </r>
  </si>
  <si>
    <t>Gia đoạn 2:Enhanced UX/UI</t>
  </si>
  <si>
    <t>Website chạy 
được với chức năng cơ bản</t>
  </si>
  <si>
    <t xml:space="preserve">Website hoàn thiện &amp; fix Bug
</t>
  </si>
  <si>
    <t>Triển khai trên web</t>
  </si>
  <si>
    <r>
      <rPr>
        <b/>
        <sz val="11"/>
        <color theme="1"/>
        <rFont val="Calibri"/>
        <family val="2"/>
        <scheme val="minor"/>
      </rPr>
      <t xml:space="preserve">Mục tiêu: User quay lại thường xuyên
</t>
    </r>
    <r>
      <rPr>
        <sz val="11"/>
        <color theme="1"/>
        <rFont val="Calibri"/>
        <family val="2"/>
        <scheme val="minor"/>
      </rPr>
      <t>a.Tìm kiếm &amp; lọc(Theo chủ đề, cập độ, độ dài của audio).
b.Thống kê % chính xác, % hoàn thành từng level.
c.Bookmark(đánh dấu bài học yêu thích để luyện lại).
d.Repeat mode(nghe lại từng câu, tự động pause mỗi câu)
e.Admin CMS(upload audio,nhập transcript,phân loại cấp độ)</t>
    </r>
  </si>
  <si>
    <t>Gia đoạn 3:Advanced</t>
  </si>
  <si>
    <r>
      <rPr>
        <b/>
        <sz val="11"/>
        <color theme="1"/>
        <rFont val="Calibri"/>
        <family val="2"/>
        <scheme val="minor"/>
      </rPr>
      <t>Địa lý:</t>
    </r>
    <r>
      <rPr>
        <sz val="11"/>
        <color theme="1"/>
        <rFont val="Calibri"/>
        <family val="2"/>
        <scheme val="minor"/>
      </rPr>
      <t xml:space="preserve"> dịch vụ sẽ triển khai tại Việt Nam.</t>
    </r>
  </si>
  <si>
    <r>
      <rPr>
        <b/>
        <sz val="11"/>
        <color theme="1"/>
        <rFont val="Calibri"/>
        <family val="2"/>
        <scheme val="minor"/>
      </rPr>
      <t xml:space="preserve">Tạo cộng đồng và phát triển thêm tính năng:
</t>
    </r>
    <r>
      <rPr>
        <sz val="11"/>
        <color theme="1"/>
        <rFont val="Calibri"/>
        <family val="2"/>
        <scheme val="minor"/>
      </rPr>
      <t>a.Leaderboard(xếp hạng điểm cao theo tuần/tháng, streak.
b.Error analysis(highlight từ sai, phân loại lỗi ngữ pháp, chính tả,..).
c.Luyện tập lỗi sai(tự động gợi ý bài tập tương tự với từ hay sai).
d.Comment và share: bình luận của từng bài học, user có thể tương tác với nhau.
e.Achievement system: huy hiệu(streak 7 days, perfect score,..).</t>
    </r>
  </si>
  <si>
    <t xml:space="preserve">Mở rộng thêm nhiều tính năng </t>
  </si>
  <si>
    <t>Xây dựng cơ chế thu thập dữ liệu người dùng</t>
  </si>
  <si>
    <t>Phase 1</t>
  </si>
  <si>
    <t>Phase 2</t>
  </si>
  <si>
    <t>Phase 3</t>
  </si>
  <si>
    <t>Hoàn thành phân tích &amp; thiết kế cơ bản</t>
  </si>
  <si>
    <t>Wireframe + Database Schema</t>
  </si>
  <si>
    <t>Tài khoản ĐK/ĐN + Landing Page</t>
  </si>
  <si>
    <t>Chỉ cần email/password, chưa social login</t>
  </si>
  <si>
    <t>Hoàn thành Backend API cơ bản</t>
  </si>
  <si>
    <t>CRUD bài học, lưu tiến độ, chấm điểm</t>
  </si>
  <si>
    <t>Hoàn thành Frontend core</t>
  </si>
  <si>
    <t>Audio player, ô nhập, danh sách bài</t>
  </si>
  <si>
    <t>Testing &amp; Bug fixing giai đoạn 1</t>
  </si>
  <si>
    <t>Unit test + smoke test</t>
  </si>
  <si>
    <t>-</t>
  </si>
  <si>
    <t>Giới hạn 50 user test</t>
  </si>
  <si>
    <t>tuần</t>
  </si>
  <si>
    <t>Tính ngày làm việc (không tính thứ 7 và chủ nhật)</t>
  </si>
  <si>
    <t>Upload 30 bài học mẫu ( 3 cấp độ)</t>
  </si>
  <si>
    <t>Ghi chú</t>
  </si>
  <si>
    <t>CÁC MỐC SỰ KIỆN QUAN TRỌNG CHO TỪNG GIAI ĐOẠN</t>
  </si>
  <si>
    <t>Tìm và duyệt content để upload</t>
  </si>
  <si>
    <t>Tìm kiếm &amp; filter + bookmark</t>
  </si>
  <si>
    <t>Thống ke tiến độ(biểu đồ)</t>
  </si>
  <si>
    <t>Admin CMS hoàn thiện</t>
  </si>
  <si>
    <t>Repeat Mode(tua câu)</t>
  </si>
  <si>
    <t>Testing &amp; Optimization UX</t>
  </si>
  <si>
    <t>Frontend + Backend</t>
  </si>
  <si>
    <t>Chart.js/D3.js tích hợp</t>
  </si>
  <si>
    <t>Cho phép admin tự upload content</t>
  </si>
  <si>
    <t>Xử lý timestamp audio</t>
  </si>
  <si>
    <t>Test beta với 20 user</t>
  </si>
  <si>
    <t>Leaderboard + Achievement</t>
  </si>
  <si>
    <t>Error Analysis &amp; gợi ý luyện tập</t>
  </si>
  <si>
    <t>Comment &amp; share</t>
  </si>
  <si>
    <t>Performance &amp; Security</t>
  </si>
  <si>
    <t>RA MẮT CHÍNH THỨC</t>
  </si>
  <si>
    <t>RA MẮT BETA</t>
  </si>
  <si>
    <t>Redis cache cho real-time ranking</t>
  </si>
  <si>
    <t>AI/ML cơ bản hoặc rule-based</t>
  </si>
  <si>
    <t>Tích hợp Facebook API</t>
  </si>
  <si>
    <t>Rate limit, HTTPS, CDN</t>
  </si>
  <si>
    <t>Mở đăng ký công khai</t>
  </si>
  <si>
    <t>Sai lệch phân tích yêu cầu</t>
  </si>
  <si>
    <t>Delay API chấm điểm</t>
  </si>
  <si>
    <t>Lỗi tương thích Audio Player</t>
  </si>
  <si>
    <t>Thiếu content chất lượng</t>
  </si>
  <si>
    <t>Lỗi bản quyền audio</t>
  </si>
  <si>
    <t>Performance database chậm</t>
  </si>
  <si>
    <t>Thay đổi thiết kế liên tục</t>
  </si>
  <si>
    <t>Không nhận được feedback</t>
  </si>
  <si>
    <t>Điểm chấm không chính xác</t>
  </si>
  <si>
    <t>Host quá tải</t>
  </si>
  <si>
    <t>Lỗi lưu tiến độ</t>
  </si>
  <si>
    <t>User hiếm khi quay lại</t>
  </si>
  <si>
    <t>Lỗi hiển thị transcript</t>
  </si>
  <si>
    <t>R12</t>
  </si>
  <si>
    <t>R13</t>
  </si>
  <si>
    <t>Trình phát audio không hoạt động trên 1 số browser hoặc mobile app.</t>
  </si>
  <si>
    <t>Thuật toán so sánh transcript phức tạp hơn dự kiến, không tính được % chính xác đúng hạn.</t>
  </si>
  <si>
    <t>Hiểu không chính xác chức năng chấm điểm dictation, dẫn đến thiết kế sai core logic, phải code lại.</t>
  </si>
  <si>
    <t>Khó tìm audio có transcript chuẩn, cấp độ phù hợp, dẫn đến không đủ 30 bài để launch.</t>
  </si>
  <si>
    <t>Sử dụng audio nguồn mở không rõ licence, bị claim hoặc takedown sau khi public.</t>
  </si>
  <si>
    <t>Khi có quá nhiều user truy cập, truy vấn lịch sử tiến độ bị chậm, timeout.</t>
  </si>
  <si>
    <t>Thêm nhiều tính năng "nhỏ" sau khi user sử dụng và góp ý, gây scope creep và kéo dài timeline.</t>
  </si>
  <si>
    <t>Beta test với 50 user nhưng không thu thập được feedback có giá trị để cải thiện.</t>
  </si>
  <si>
    <t>Thuật toán chấm điểm quá khắt khe hoặc quá dễ, user nản không muốn dùng tiếp.</t>
  </si>
  <si>
    <t>Sử dụng gói hosting rẻ, không chịu được số lượng user đột biến khi viral, website sập.</t>
  </si>
  <si>
    <t>Chọn gói hosting rẻ, không chịu được số lượng user tăng đột biến khi viral, website sập.</t>
  </si>
  <si>
    <t>Sau 1 tuần deploy thì có quá ít user quay lại, UX kém hoặc giá trị chưa rõ ràng.</t>
  </si>
  <si>
    <t>Transcipt có ký tự đặc biệt(dấu câu, viết hoa) bị lỗi font không hiện thị đúng.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</si>
</sst>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rgb="FF0070C0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sz val="13"/>
      <color theme="1"/>
      <name val="Calibri Light"/>
      <family val="1"/>
      <charset val="163"/>
      <scheme val="major"/>
    </font>
    <font>
      <sz val="13"/>
      <color theme="1"/>
      <name val="Calibri Light"/>
      <family val="1"/>
      <charset val="163"/>
      <scheme val="major"/>
    </font>
    <font>
      <sz val="11"/>
      <color theme="4"/>
      <name val="Calibri"/>
      <family val="2"/>
      <scheme val="minor"/>
    </font>
    <font>
      <b/>
      <u/>
      <sz val="11"/>
      <color rgb="FFCC0000"/>
      <name val="Calibri"/>
      <family val="2"/>
      <scheme val="minor"/>
    </font>
    <font>
      <b/>
      <sz val="13"/>
      <color theme="1"/>
      <name val="Calibri Light"/>
      <family val="2"/>
      <scheme val="major"/>
    </font>
  </fonts>
  <fills count="5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/>
        <bgColor indexed="64"/>
      </patternFill>
    </fill>
  </fills>
  <borders count="2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/>
    </xf>
    <xf numFmtId="0" fontId="1" fillId="0" borderId="1" xfId="0" applyFont="1" applyBorder="1"/>
    <xf numFmtId="0" fontId="0" fillId="0" borderId="2" xfId="0" applyBorder="1"/>
    <xf numFmtId="0" fontId="0" fillId="0" borderId="3" xfId="0" applyBorder="1"/>
    <xf numFmtId="0" fontId="1" fillId="0" borderId="4" xfId="0" applyFont="1" applyBorder="1"/>
    <xf numFmtId="0" fontId="0" fillId="0" borderId="5" xfId="0" applyBorder="1"/>
    <xf numFmtId="0" fontId="1" fillId="0" borderId="4" xfId="0" applyFont="1" applyBorder="1" applyAlignment="1">
      <alignment vertical="top"/>
    </xf>
    <xf numFmtId="0" fontId="1" fillId="0" borderId="6" xfId="0" applyFont="1" applyBorder="1"/>
    <xf numFmtId="0" fontId="0" fillId="0" borderId="7" xfId="0" applyBorder="1"/>
    <xf numFmtId="0" fontId="0" fillId="0" borderId="8" xfId="0" applyBorder="1"/>
    <xf numFmtId="0" fontId="0" fillId="0" borderId="4" xfId="0" applyBorder="1"/>
    <xf numFmtId="0" fontId="0" fillId="0" borderId="10" xfId="0" applyBorder="1" applyAlignment="1">
      <alignment wrapText="1"/>
    </xf>
    <xf numFmtId="0" fontId="0" fillId="0" borderId="10" xfId="0" applyBorder="1"/>
    <xf numFmtId="0" fontId="0" fillId="0" borderId="9" xfId="0" applyBorder="1"/>
    <xf numFmtId="0" fontId="0" fillId="0" borderId="13" xfId="0" applyBorder="1"/>
    <xf numFmtId="0" fontId="0" fillId="0" borderId="17" xfId="0" applyBorder="1"/>
    <xf numFmtId="0" fontId="1" fillId="0" borderId="9" xfId="0" applyFont="1" applyBorder="1"/>
    <xf numFmtId="0" fontId="0" fillId="0" borderId="9" xfId="0" applyBorder="1" applyAlignment="1">
      <alignment wrapText="1"/>
    </xf>
    <xf numFmtId="0" fontId="0" fillId="0" borderId="16" xfId="0" applyBorder="1"/>
    <xf numFmtId="0" fontId="0" fillId="0" borderId="14" xfId="0" applyBorder="1"/>
    <xf numFmtId="0" fontId="0" fillId="0" borderId="15" xfId="0" applyBorder="1"/>
    <xf numFmtId="0" fontId="0" fillId="0" borderId="0" xfId="0" applyAlignment="1">
      <alignment horizontal="center"/>
    </xf>
    <xf numFmtId="0" fontId="1" fillId="0" borderId="9" xfId="0" applyFont="1" applyBorder="1" applyAlignment="1">
      <alignment vertical="top"/>
    </xf>
    <xf numFmtId="0" fontId="0" fillId="0" borderId="9" xfId="0" quotePrefix="1" applyBorder="1" applyAlignment="1">
      <alignment wrapText="1"/>
    </xf>
    <xf numFmtId="0" fontId="2" fillId="0" borderId="9" xfId="0" applyFont="1" applyBorder="1" applyAlignment="1">
      <alignment horizontal="center"/>
    </xf>
    <xf numFmtId="0" fontId="2" fillId="0" borderId="9" xfId="0" applyFont="1" applyBorder="1" applyAlignment="1">
      <alignment horizontal="center" vertical="top"/>
    </xf>
    <xf numFmtId="0" fontId="0" fillId="0" borderId="0" xfId="0" quotePrefix="1"/>
    <xf numFmtId="0" fontId="0" fillId="0" borderId="9" xfId="0" applyBorder="1" applyAlignment="1">
      <alignment horizontal="right"/>
    </xf>
    <xf numFmtId="0" fontId="0" fillId="0" borderId="9" xfId="0" applyBorder="1" applyAlignment="1">
      <alignment horizontal="right" vertical="center"/>
    </xf>
    <xf numFmtId="0" fontId="0" fillId="2" borderId="9" xfId="0" applyFill="1" applyBorder="1"/>
    <xf numFmtId="0" fontId="0" fillId="2" borderId="9" xfId="0" applyFill="1" applyBorder="1" applyAlignment="1">
      <alignment vertical="top"/>
    </xf>
    <xf numFmtId="0" fontId="0" fillId="2" borderId="9" xfId="0" applyFill="1" applyBorder="1" applyAlignment="1">
      <alignment vertical="top" wrapText="1"/>
    </xf>
    <xf numFmtId="0" fontId="0" fillId="2" borderId="9" xfId="0" applyFill="1" applyBorder="1" applyAlignment="1">
      <alignment wrapText="1"/>
    </xf>
    <xf numFmtId="0" fontId="0" fillId="0" borderId="9" xfId="0" applyBorder="1" applyAlignment="1">
      <alignment vertical="top" wrapText="1"/>
    </xf>
    <xf numFmtId="0" fontId="3" fillId="0" borderId="0" xfId="0" applyFont="1"/>
    <xf numFmtId="0" fontId="6" fillId="3" borderId="9" xfId="0" applyFont="1" applyFill="1" applyBorder="1" applyAlignment="1">
      <alignment horizontal="center" vertical="center"/>
    </xf>
    <xf numFmtId="0" fontId="7" fillId="0" borderId="9" xfId="0" applyFont="1" applyBorder="1" applyAlignment="1">
      <alignment vertical="center"/>
    </xf>
    <xf numFmtId="0" fontId="7" fillId="0" borderId="9" xfId="0" applyFont="1" applyBorder="1" applyAlignment="1">
      <alignment vertical="center" wrapText="1"/>
    </xf>
    <xf numFmtId="0" fontId="7" fillId="0" borderId="9" xfId="0" quotePrefix="1" applyFont="1" applyBorder="1" applyAlignment="1">
      <alignment vertical="center" wrapText="1"/>
    </xf>
    <xf numFmtId="0" fontId="0" fillId="0" borderId="20" xfId="0" applyBorder="1"/>
    <xf numFmtId="0" fontId="0" fillId="0" borderId="21" xfId="0" applyBorder="1"/>
    <xf numFmtId="0" fontId="0" fillId="0" borderId="11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19" xfId="0" quotePrefix="1" applyBorder="1" applyAlignment="1">
      <alignment horizontal="left" vertical="top" wrapText="1"/>
    </xf>
    <xf numFmtId="0" fontId="5" fillId="0" borderId="9" xfId="0" applyFont="1" applyBorder="1" applyAlignment="1">
      <alignment horizontal="center"/>
    </xf>
    <xf numFmtId="0" fontId="0" fillId="0" borderId="0" xfId="0" applyAlignment="1">
      <alignment horizontal="right"/>
    </xf>
    <xf numFmtId="0" fontId="0" fillId="0" borderId="19" xfId="0" applyBorder="1" applyAlignment="1">
      <alignment wrapText="1"/>
    </xf>
    <xf numFmtId="0" fontId="0" fillId="0" borderId="0" xfId="0" applyAlignment="1">
      <alignment horizontal="left"/>
    </xf>
    <xf numFmtId="0" fontId="0" fillId="4" borderId="9" xfId="0" applyFill="1" applyBorder="1"/>
    <xf numFmtId="0" fontId="8" fillId="0" borderId="0" xfId="0" applyFont="1" applyAlignment="1">
      <alignment vertical="center"/>
    </xf>
    <xf numFmtId="0" fontId="0" fillId="4" borderId="9" xfId="0" applyFill="1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0" fillId="0" borderId="9" xfId="0" applyFont="1" applyBorder="1" applyAlignment="1">
      <alignment horizontal="center" vertical="center"/>
    </xf>
    <xf numFmtId="0" fontId="10" fillId="0" borderId="9" xfId="0" applyFont="1" applyBorder="1" applyAlignment="1">
      <alignment horizontal="center"/>
    </xf>
    <xf numFmtId="0" fontId="7" fillId="0" borderId="9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Alignment="1">
      <alignment horizontal="center" vertical="top"/>
    </xf>
    <xf numFmtId="0" fontId="0" fillId="0" borderId="9" xfId="0" applyBorder="1" applyAlignment="1">
      <alignment horizontal="left" wrapText="1"/>
    </xf>
    <xf numFmtId="0" fontId="0" fillId="0" borderId="9" xfId="0" applyBorder="1" applyAlignment="1">
      <alignment horizontal="left"/>
    </xf>
    <xf numFmtId="0" fontId="0" fillId="0" borderId="0" xfId="0" applyAlignment="1">
      <alignment horizontal="center"/>
    </xf>
    <xf numFmtId="0" fontId="2" fillId="0" borderId="9" xfId="0" applyFont="1" applyBorder="1" applyAlignment="1">
      <alignment horizontal="center"/>
    </xf>
    <xf numFmtId="0" fontId="0" fillId="0" borderId="9" xfId="0" quotePrefix="1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9" xfId="0" applyBorder="1" applyAlignment="1">
      <alignment horizontal="left" vertical="top" wrapText="1"/>
    </xf>
    <xf numFmtId="0" fontId="0" fillId="0" borderId="9" xfId="0" applyBorder="1" applyAlignment="1">
      <alignment horizontal="center" vertical="center"/>
    </xf>
    <xf numFmtId="0" fontId="5" fillId="2" borderId="9" xfId="0" applyFont="1" applyFill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13" xfId="0" applyBorder="1" applyAlignment="1">
      <alignment horizontal="center" vertical="center" wrapText="1"/>
    </xf>
    <xf numFmtId="0" fontId="0" fillId="0" borderId="1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9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 wrapText="1"/>
    </xf>
    <xf numFmtId="0" fontId="8" fillId="0" borderId="0" xfId="0" applyFont="1" applyAlignment="1">
      <alignment horizontal="center" vertical="center"/>
    </xf>
    <xf numFmtId="0" fontId="0" fillId="4" borderId="12" xfId="0" applyFill="1" applyBorder="1" applyAlignment="1">
      <alignment horizontal="center"/>
    </xf>
    <xf numFmtId="0" fontId="0" fillId="4" borderId="11" xfId="0" applyFill="1" applyBorder="1" applyAlignment="1">
      <alignment horizontal="center"/>
    </xf>
    <xf numFmtId="0" fontId="1" fillId="0" borderId="0" xfId="0" applyFont="1" applyAlignment="1">
      <alignment horizontal="left" vertical="top"/>
    </xf>
    <xf numFmtId="0" fontId="0" fillId="0" borderId="18" xfId="0" applyBorder="1" applyAlignment="1">
      <alignment horizontal="left"/>
    </xf>
    <xf numFmtId="0" fontId="9" fillId="0" borderId="0" xfId="0" applyFont="1" applyAlignment="1">
      <alignment horizontal="center"/>
    </xf>
    <xf numFmtId="0" fontId="8" fillId="0" borderId="24" xfId="0" applyFont="1" applyBorder="1" applyAlignment="1">
      <alignment horizontal="center" vertical="center"/>
    </xf>
    <xf numFmtId="0" fontId="0" fillId="0" borderId="13" xfId="0" applyBorder="1" applyAlignment="1">
      <alignment horizontal="center" vertical="top"/>
    </xf>
    <xf numFmtId="0" fontId="0" fillId="0" borderId="19" xfId="0" applyBorder="1" applyAlignment="1">
      <alignment horizontal="center" vertical="top"/>
    </xf>
    <xf numFmtId="0" fontId="0" fillId="0" borderId="10" xfId="0" applyBorder="1" applyAlignment="1">
      <alignment horizontal="center" vertical="top"/>
    </xf>
    <xf numFmtId="0" fontId="0" fillId="0" borderId="13" xfId="0" applyBorder="1" applyAlignment="1">
      <alignment horizontal="center" vertical="top" wrapText="1"/>
    </xf>
  </cellXfs>
  <cellStyles count="1">
    <cellStyle name="Normal" xfId="0" builtinId="0"/>
  </cellStyles>
  <dxfs count="26"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8C99BFA1-7339-4BAF-9CD2-5F4B3B93558E}" name="Table3" displayName="Table3" ref="A12:J16" totalsRowShown="0" headerRowDxfId="25" headerRowBorderDxfId="24" tableBorderDxfId="23" totalsRowBorderDxfId="22">
  <autoFilter ref="A12:J16" xr:uid="{8C99BFA1-7339-4BAF-9CD2-5F4B3B93558E}"/>
  <tableColumns count="10">
    <tableColumn id="1" xr3:uid="{403E28F8-15AC-4659-B734-679DA4C3607A}" name="STT" dataDxfId="21"/>
    <tableColumn id="2" xr3:uid="{3A5BBB39-11B0-4713-9560-631FF1399646}" name="Tên PM" dataDxfId="20"/>
    <tableColumn id="3" xr3:uid="{E7217A72-43D5-46E5-B8DA-573FC2495EE2}" name="Ngày tiếp_x000a_ nhận dự án" dataDxfId="19"/>
    <tableColumn id="4" xr3:uid="{526B6042-2ECF-4515-AAC6-72545ED14E4E}" name="Chức vụ" dataDxfId="18"/>
    <tableColumn id="5" xr3:uid="{E3FFA395-9DBC-4373-9B55-51B4C81EC88A}" name="Học vị_x000a_Học Hàm" dataDxfId="17"/>
    <tableColumn id="6" xr3:uid="{58056848-52E5-462B-ABF5-9563C7738FB4}" name="Thành tích" dataDxfId="16"/>
    <tableColumn id="7" xr3:uid="{7723EEA0-217A-49B0-B7DC-53CB126436D1}" name="Mail" dataDxfId="15"/>
    <tableColumn id="8" xr3:uid="{4781AFCA-68AE-4B2B-BDF3-6E0BB6F17DE1}" name="SĐT" dataDxfId="14"/>
    <tableColumn id="9" xr3:uid="{7A4A88A1-0926-4F19-AA54-01C01D67EA7E}" name="Địa chị liên hệ" dataDxfId="13"/>
    <tableColumn id="10" xr3:uid="{A85CAE59-66B6-485C-BFC7-02136A105982}" name="Đặc quyền" dataDxfId="12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F4FD14F-44A8-4C11-B45C-D616CBC0091B}" name="Table2" displayName="Table2" ref="A4:H13" totalsRowShown="0" headerRowDxfId="11" headerRowBorderDxfId="10" tableBorderDxfId="9" totalsRowBorderDxfId="8">
  <autoFilter ref="A4:H13" xr:uid="{AF4FD14F-44A8-4C11-B45C-D616CBC0091B}"/>
  <tableColumns count="8">
    <tableColumn id="1" xr3:uid="{68C658BA-15D1-4D78-81DD-FC17D537989F}" name="stt" dataDxfId="7"/>
    <tableColumn id="2" xr3:uid="{BC95475C-890B-45F3-BD21-C1C05E08CF22}" name="tên" dataDxfId="6"/>
    <tableColumn id="3" xr3:uid="{181B062D-DE17-44A6-9EBB-03C77E02C7CF}" name="Giới thiêu" dataDxfId="5"/>
    <tableColumn id="4" xr3:uid="{916F40C9-2AE3-4D80-98A5-782A33C09990}" name="thông tin liên lạc" dataDxfId="4"/>
    <tableColumn id="5" xr3:uid="{007AD39E-1F11-4BBA-9DD2-4F3E2D70E5CD}" name="Dự án thành công" dataDxfId="3"/>
    <tableColumn id="6" xr3:uid="{74B0F394-B72A-43E0-92B6-882C55050277}" name="Dự án thất bại" dataDxfId="2"/>
    <tableColumn id="7" xr3:uid="{4E4236A1-E018-45CC-B670-B95382597FC8}" name="tác đông tiêu cực đến dự án" dataDxfId="1"/>
    <tableColumn id="8" xr3:uid="{23E4008B-2CA3-4ECD-8EAA-EC20EF78A320}" name="Tác động tiêu cực đến dự án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CF2D3-9CE7-437B-B9F9-392F8632A013}">
  <dimension ref="A2:C7"/>
  <sheetViews>
    <sheetView zoomScale="190" zoomScaleNormal="190" workbookViewId="0">
      <selection activeCell="B4" sqref="B4:C4"/>
    </sheetView>
  </sheetViews>
  <sheetFormatPr defaultRowHeight="15" x14ac:dyDescent="0.25"/>
  <cols>
    <col min="1" max="1" width="15.28515625" customWidth="1"/>
    <col min="2" max="2" width="19.28515625" customWidth="1"/>
    <col min="3" max="3" width="14.7109375" customWidth="1"/>
  </cols>
  <sheetData>
    <row r="2" spans="1:3" x14ac:dyDescent="0.25">
      <c r="A2" s="18" t="s">
        <v>1</v>
      </c>
      <c r="B2" s="63">
        <v>221020251044</v>
      </c>
      <c r="C2" s="64"/>
    </row>
    <row r="3" spans="1:3" x14ac:dyDescent="0.25">
      <c r="A3" s="15"/>
      <c r="B3" s="63"/>
      <c r="C3" s="64"/>
    </row>
    <row r="4" spans="1:3" x14ac:dyDescent="0.25">
      <c r="A4" s="15"/>
      <c r="B4" s="63"/>
      <c r="C4" s="64"/>
    </row>
    <row r="5" spans="1:3" x14ac:dyDescent="0.25">
      <c r="A5" s="15"/>
      <c r="B5" s="63"/>
      <c r="C5" s="64"/>
    </row>
    <row r="6" spans="1:3" x14ac:dyDescent="0.25">
      <c r="A6" s="18" t="s">
        <v>4</v>
      </c>
      <c r="B6" s="15" t="s">
        <v>5</v>
      </c>
      <c r="C6" s="15" t="s">
        <v>6</v>
      </c>
    </row>
    <row r="7" spans="1:3" x14ac:dyDescent="0.25">
      <c r="A7" s="18" t="s">
        <v>3</v>
      </c>
      <c r="B7" s="63">
        <v>0</v>
      </c>
      <c r="C7" s="64"/>
    </row>
  </sheetData>
  <mergeCells count="5">
    <mergeCell ref="B2:C2"/>
    <mergeCell ref="B3:C3"/>
    <mergeCell ref="B4:C4"/>
    <mergeCell ref="B5:C5"/>
    <mergeCell ref="B7:C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9DE2D4-2732-4A9A-8D17-82EAF90D3DC4}">
  <dimension ref="A1:I5"/>
  <sheetViews>
    <sheetView zoomScale="145" zoomScaleNormal="145" workbookViewId="0">
      <selection activeCell="H9" sqref="H9"/>
    </sheetView>
  </sheetViews>
  <sheetFormatPr defaultRowHeight="15" x14ac:dyDescent="0.25"/>
  <cols>
    <col min="1" max="1" width="15.28515625" customWidth="1"/>
    <col min="2" max="2" width="18.42578125" customWidth="1"/>
  </cols>
  <sheetData>
    <row r="1" spans="1:9" x14ac:dyDescent="0.25">
      <c r="A1" s="1" t="s">
        <v>1</v>
      </c>
      <c r="B1">
        <v>220330102005</v>
      </c>
    </row>
    <row r="2" spans="1:9" x14ac:dyDescent="0.25">
      <c r="A2" s="1" t="s">
        <v>0</v>
      </c>
      <c r="B2" t="s">
        <v>71</v>
      </c>
    </row>
    <row r="3" spans="1:9" ht="33" customHeight="1" x14ac:dyDescent="0.25">
      <c r="A3" s="2" t="s">
        <v>2</v>
      </c>
      <c r="B3" s="65" t="s">
        <v>72</v>
      </c>
      <c r="C3" s="65"/>
      <c r="D3" s="65"/>
      <c r="E3" s="65"/>
      <c r="F3" s="65"/>
      <c r="G3" s="65"/>
      <c r="H3" s="65"/>
      <c r="I3" s="65"/>
    </row>
    <row r="4" spans="1:9" x14ac:dyDescent="0.25">
      <c r="A4" s="1" t="s">
        <v>4</v>
      </c>
      <c r="B4" t="s">
        <v>73</v>
      </c>
    </row>
    <row r="5" spans="1:9" x14ac:dyDescent="0.25">
      <c r="A5" s="1" t="s">
        <v>3</v>
      </c>
      <c r="B5">
        <v>0.1</v>
      </c>
    </row>
  </sheetData>
  <mergeCells count="1">
    <mergeCell ref="B3:I3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2D6601-5453-4131-B45F-C5E2E80E97ED}">
  <dimension ref="A1:J18"/>
  <sheetViews>
    <sheetView zoomScaleNormal="100" workbookViewId="0">
      <selection activeCell="H13" sqref="H13"/>
    </sheetView>
  </sheetViews>
  <sheetFormatPr defaultRowHeight="15" x14ac:dyDescent="0.25"/>
  <cols>
    <col min="1" max="1" width="20.140625" bestFit="1" customWidth="1"/>
    <col min="2" max="2" width="36.42578125" customWidth="1"/>
    <col min="3" max="3" width="17" customWidth="1"/>
    <col min="5" max="5" width="15.42578125" bestFit="1" customWidth="1"/>
    <col min="6" max="6" width="17.5703125" bestFit="1" customWidth="1"/>
    <col min="7" max="7" width="15.28515625" bestFit="1" customWidth="1"/>
    <col min="8" max="8" width="10.28515625" customWidth="1"/>
    <col min="10" max="10" width="12" customWidth="1"/>
    <col min="12" max="12" width="14.7109375" customWidth="1"/>
    <col min="13" max="13" width="15.7109375" customWidth="1"/>
    <col min="14" max="14" width="12.42578125" customWidth="1"/>
  </cols>
  <sheetData>
    <row r="1" spans="1:10" x14ac:dyDescent="0.25">
      <c r="A1" s="3" t="s">
        <v>1</v>
      </c>
      <c r="B1" s="16">
        <v>220330102005</v>
      </c>
    </row>
    <row r="2" spans="1:10" x14ac:dyDescent="0.25">
      <c r="A2" s="6" t="s">
        <v>11</v>
      </c>
      <c r="B2" s="47" t="s">
        <v>73</v>
      </c>
    </row>
    <row r="3" spans="1:10" ht="90" x14ac:dyDescent="0.25">
      <c r="A3" s="8" t="s">
        <v>7</v>
      </c>
      <c r="B3" s="48" t="s">
        <v>74</v>
      </c>
    </row>
    <row r="4" spans="1:10" x14ac:dyDescent="0.25">
      <c r="A4" s="8" t="s">
        <v>12</v>
      </c>
      <c r="B4" s="48"/>
    </row>
    <row r="5" spans="1:10" x14ac:dyDescent="0.25">
      <c r="A5" s="8" t="s">
        <v>13</v>
      </c>
      <c r="B5" s="48"/>
    </row>
    <row r="6" spans="1:10" x14ac:dyDescent="0.25">
      <c r="A6" s="6" t="s">
        <v>4</v>
      </c>
      <c r="B6" s="47" t="s">
        <v>73</v>
      </c>
    </row>
    <row r="7" spans="1:10" ht="15.75" thickBot="1" x14ac:dyDescent="0.3">
      <c r="A7" s="9" t="s">
        <v>3</v>
      </c>
      <c r="B7" s="14">
        <v>0.1</v>
      </c>
    </row>
    <row r="9" spans="1:10" ht="15.75" thickBot="1" x14ac:dyDescent="0.3"/>
    <row r="10" spans="1:10" x14ac:dyDescent="0.25">
      <c r="A10" s="3" t="s">
        <v>1</v>
      </c>
      <c r="B10" s="4">
        <v>21102025219</v>
      </c>
      <c r="C10" s="4"/>
      <c r="D10" s="4"/>
      <c r="E10" s="4"/>
      <c r="F10" s="4"/>
      <c r="G10" s="4"/>
      <c r="H10" s="4"/>
      <c r="I10" s="4"/>
      <c r="J10" s="5"/>
    </row>
    <row r="11" spans="1:10" x14ac:dyDescent="0.25">
      <c r="A11" s="12"/>
      <c r="J11" s="7"/>
    </row>
    <row r="12" spans="1:10" ht="30" x14ac:dyDescent="0.25">
      <c r="A12" s="21" t="s">
        <v>8</v>
      </c>
      <c r="B12" s="14" t="s">
        <v>11</v>
      </c>
      <c r="C12" s="13" t="s">
        <v>14</v>
      </c>
      <c r="D12" s="14" t="s">
        <v>15</v>
      </c>
      <c r="E12" s="13" t="s">
        <v>16</v>
      </c>
      <c r="F12" s="14" t="s">
        <v>75</v>
      </c>
      <c r="G12" s="13" t="s">
        <v>10</v>
      </c>
      <c r="H12" s="14" t="s">
        <v>76</v>
      </c>
      <c r="I12" s="13" t="s">
        <v>17</v>
      </c>
      <c r="J12" s="22" t="s">
        <v>18</v>
      </c>
    </row>
    <row r="13" spans="1:10" x14ac:dyDescent="0.25">
      <c r="A13" s="20">
        <v>1</v>
      </c>
      <c r="B13" s="15"/>
      <c r="C13" s="15"/>
      <c r="D13" s="15"/>
      <c r="E13" s="15"/>
      <c r="F13" s="15"/>
      <c r="G13" s="15"/>
      <c r="H13" s="15"/>
      <c r="I13" s="15"/>
      <c r="J13" s="17"/>
    </row>
    <row r="14" spans="1:10" x14ac:dyDescent="0.25">
      <c r="A14" s="20">
        <v>2</v>
      </c>
      <c r="B14" s="15"/>
      <c r="C14" s="15"/>
      <c r="D14" s="15"/>
      <c r="E14" s="15"/>
      <c r="F14" s="15"/>
      <c r="G14" s="15"/>
      <c r="H14" s="15"/>
      <c r="I14" s="15"/>
      <c r="J14" s="17"/>
    </row>
    <row r="15" spans="1:10" x14ac:dyDescent="0.25">
      <c r="A15" s="20">
        <v>3</v>
      </c>
      <c r="B15" s="15"/>
      <c r="C15" s="15"/>
      <c r="D15" s="15"/>
      <c r="E15" s="15"/>
      <c r="F15" s="15"/>
      <c r="G15" s="15"/>
      <c r="H15" s="15"/>
      <c r="I15" s="15"/>
      <c r="J15" s="17"/>
    </row>
    <row r="16" spans="1:10" x14ac:dyDescent="0.25">
      <c r="A16" s="20" t="s">
        <v>9</v>
      </c>
      <c r="B16" s="15"/>
      <c r="C16" s="15"/>
      <c r="D16" s="15"/>
      <c r="E16" s="15"/>
      <c r="F16" s="15"/>
      <c r="G16" s="15"/>
      <c r="H16" s="15"/>
      <c r="I16" s="15"/>
      <c r="J16" s="17"/>
    </row>
    <row r="17" spans="1:10" x14ac:dyDescent="0.25">
      <c r="A17" s="6" t="s">
        <v>4</v>
      </c>
      <c r="B17" t="s">
        <v>73</v>
      </c>
      <c r="J17" s="7"/>
    </row>
    <row r="18" spans="1:10" ht="15.75" thickBot="1" x14ac:dyDescent="0.3">
      <c r="A18" s="9" t="s">
        <v>3</v>
      </c>
      <c r="B18" s="10">
        <v>0.1</v>
      </c>
      <c r="C18" s="11"/>
      <c r="D18" s="10"/>
      <c r="E18" s="10"/>
      <c r="F18" s="10"/>
      <c r="G18" s="10"/>
      <c r="H18" s="10"/>
      <c r="I18" s="10"/>
      <c r="J18" s="11"/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867C21-F457-409E-966C-5B1B542E8687}">
  <dimension ref="A1:F12"/>
  <sheetViews>
    <sheetView zoomScale="145" zoomScaleNormal="145" workbookViewId="0">
      <selection activeCell="B6" sqref="B6:E6"/>
    </sheetView>
  </sheetViews>
  <sheetFormatPr defaultRowHeight="15" x14ac:dyDescent="0.25"/>
  <cols>
    <col min="1" max="1" width="17.5703125" bestFit="1" customWidth="1"/>
    <col min="2" max="2" width="13.85546875" customWidth="1"/>
    <col min="5" max="5" width="34.5703125" customWidth="1"/>
    <col min="6" max="6" width="39.5703125" customWidth="1"/>
  </cols>
  <sheetData>
    <row r="1" spans="1:6" x14ac:dyDescent="0.25">
      <c r="A1" s="3" t="s">
        <v>1</v>
      </c>
      <c r="B1">
        <v>21102025238</v>
      </c>
    </row>
    <row r="2" spans="1:6" x14ac:dyDescent="0.25">
      <c r="A2" s="6" t="s">
        <v>19</v>
      </c>
      <c r="B2" s="68" t="s">
        <v>77</v>
      </c>
      <c r="C2" s="68"/>
      <c r="D2" s="68"/>
      <c r="E2" s="68"/>
    </row>
    <row r="3" spans="1:6" x14ac:dyDescent="0.25">
      <c r="A3" s="27" t="s">
        <v>20</v>
      </c>
      <c r="B3" s="69" t="s">
        <v>22</v>
      </c>
      <c r="C3" s="69"/>
      <c r="D3" s="69"/>
      <c r="E3" s="69"/>
      <c r="F3" s="26" t="s">
        <v>21</v>
      </c>
    </row>
    <row r="4" spans="1:6" ht="60" x14ac:dyDescent="0.25">
      <c r="A4" s="24">
        <v>1</v>
      </c>
      <c r="B4" s="70" t="s">
        <v>78</v>
      </c>
      <c r="C4" s="71"/>
      <c r="D4" s="71"/>
      <c r="E4" s="71"/>
      <c r="F4" s="25" t="s">
        <v>79</v>
      </c>
    </row>
    <row r="5" spans="1:6" ht="21" customHeight="1" x14ac:dyDescent="0.25">
      <c r="A5" s="24">
        <v>2</v>
      </c>
      <c r="B5" s="72" t="s">
        <v>99</v>
      </c>
      <c r="C5" s="71"/>
      <c r="D5" s="71"/>
      <c r="E5" s="71"/>
      <c r="F5" s="15" t="s">
        <v>23</v>
      </c>
    </row>
    <row r="6" spans="1:6" x14ac:dyDescent="0.25">
      <c r="A6" s="24">
        <v>3</v>
      </c>
      <c r="B6" s="66" t="s">
        <v>80</v>
      </c>
      <c r="C6" s="67"/>
      <c r="D6" s="67"/>
      <c r="E6" s="67"/>
      <c r="F6" s="15"/>
    </row>
    <row r="7" spans="1:6" x14ac:dyDescent="0.25">
      <c r="A7" s="24">
        <v>4</v>
      </c>
      <c r="B7" s="66" t="s">
        <v>82</v>
      </c>
      <c r="C7" s="67"/>
      <c r="D7" s="67"/>
      <c r="E7" s="67"/>
      <c r="F7" s="15" t="s">
        <v>83</v>
      </c>
    </row>
    <row r="8" spans="1:6" ht="32.25" customHeight="1" x14ac:dyDescent="0.25">
      <c r="A8" s="24">
        <v>5</v>
      </c>
      <c r="B8" s="66" t="s">
        <v>81</v>
      </c>
      <c r="C8" s="67"/>
      <c r="D8" s="67"/>
      <c r="E8" s="67"/>
      <c r="F8" s="15"/>
    </row>
    <row r="11" spans="1:6" ht="15.75" thickBot="1" x14ac:dyDescent="0.3">
      <c r="A11" s="9" t="s">
        <v>4</v>
      </c>
      <c r="B11" t="s">
        <v>73</v>
      </c>
    </row>
    <row r="12" spans="1:6" ht="15.75" thickBot="1" x14ac:dyDescent="0.3">
      <c r="A12" s="9" t="s">
        <v>3</v>
      </c>
      <c r="B12" s="50">
        <v>0.1</v>
      </c>
    </row>
  </sheetData>
  <mergeCells count="7">
    <mergeCell ref="B8:E8"/>
    <mergeCell ref="B2:E2"/>
    <mergeCell ref="B3:E3"/>
    <mergeCell ref="B4:E4"/>
    <mergeCell ref="B5:E5"/>
    <mergeCell ref="B6:E6"/>
    <mergeCell ref="B7:E7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94F178-3F92-412B-BDF6-F83E1112F3DE}">
  <dimension ref="A1:G15"/>
  <sheetViews>
    <sheetView topLeftCell="A6" zoomScale="115" zoomScaleNormal="115" workbookViewId="0">
      <selection activeCell="C17" sqref="C17"/>
    </sheetView>
  </sheetViews>
  <sheetFormatPr defaultRowHeight="15" x14ac:dyDescent="0.25"/>
  <cols>
    <col min="1" max="1" width="25" customWidth="1"/>
    <col min="2" max="2" width="17" customWidth="1"/>
    <col min="3" max="3" width="40.42578125" customWidth="1"/>
    <col min="4" max="4" width="13.42578125" customWidth="1"/>
    <col min="5" max="5" width="32.140625" customWidth="1"/>
    <col min="6" max="6" width="19.140625" customWidth="1"/>
    <col min="7" max="7" width="28" customWidth="1"/>
  </cols>
  <sheetData>
    <row r="1" spans="1:7" x14ac:dyDescent="0.25">
      <c r="A1" s="3" t="s">
        <v>1</v>
      </c>
      <c r="B1" s="28" t="s">
        <v>85</v>
      </c>
      <c r="C1" s="28"/>
    </row>
    <row r="2" spans="1:7" x14ac:dyDescent="0.25">
      <c r="A2" s="75" t="s">
        <v>84</v>
      </c>
      <c r="B2" s="76"/>
      <c r="C2" s="76"/>
      <c r="D2" s="76"/>
      <c r="E2" s="76"/>
      <c r="F2" s="76"/>
      <c r="G2" s="1"/>
    </row>
    <row r="3" spans="1:7" x14ac:dyDescent="0.25">
      <c r="A3" s="15"/>
      <c r="B3" s="15"/>
      <c r="C3" s="49" t="s">
        <v>24</v>
      </c>
      <c r="D3" s="49" t="s">
        <v>22</v>
      </c>
      <c r="E3" s="74" t="s">
        <v>25</v>
      </c>
      <c r="F3" s="74"/>
    </row>
    <row r="4" spans="1:7" x14ac:dyDescent="0.25">
      <c r="A4" s="73" t="s">
        <v>87</v>
      </c>
      <c r="B4" s="30" t="s">
        <v>26</v>
      </c>
      <c r="C4" s="19" t="s">
        <v>86</v>
      </c>
      <c r="D4" s="77" t="s">
        <v>91</v>
      </c>
      <c r="E4" s="33"/>
      <c r="F4" s="32"/>
    </row>
    <row r="5" spans="1:7" x14ac:dyDescent="0.25">
      <c r="A5" s="73"/>
      <c r="B5" s="30" t="s">
        <v>27</v>
      </c>
      <c r="C5" s="15" t="s">
        <v>93</v>
      </c>
      <c r="D5" s="78"/>
      <c r="E5" s="33"/>
      <c r="F5" s="32"/>
    </row>
    <row r="6" spans="1:7" ht="210" x14ac:dyDescent="0.25">
      <c r="A6" s="73"/>
      <c r="B6" s="30" t="s">
        <v>28</v>
      </c>
      <c r="C6" s="35" t="s">
        <v>88</v>
      </c>
      <c r="D6" s="79"/>
      <c r="E6" s="32"/>
      <c r="F6" s="32"/>
    </row>
    <row r="7" spans="1:7" x14ac:dyDescent="0.25">
      <c r="A7" s="73" t="s">
        <v>90</v>
      </c>
      <c r="B7" s="29" t="s">
        <v>26</v>
      </c>
      <c r="C7" s="19" t="s">
        <v>89</v>
      </c>
      <c r="D7" s="77" t="s">
        <v>92</v>
      </c>
      <c r="E7" s="33"/>
      <c r="F7" s="32"/>
    </row>
    <row r="8" spans="1:7" x14ac:dyDescent="0.25">
      <c r="A8" s="73"/>
      <c r="B8" s="29" t="s">
        <v>27</v>
      </c>
      <c r="C8" s="19" t="s">
        <v>93</v>
      </c>
      <c r="D8" s="80"/>
      <c r="E8" s="34"/>
      <c r="F8" s="31"/>
    </row>
    <row r="9" spans="1:7" ht="165" x14ac:dyDescent="0.25">
      <c r="A9" s="73"/>
      <c r="B9" s="29" t="s">
        <v>28</v>
      </c>
      <c r="C9" s="19" t="s">
        <v>94</v>
      </c>
      <c r="D9" s="81"/>
      <c r="E9" s="31"/>
      <c r="F9" s="31"/>
    </row>
    <row r="10" spans="1:7" x14ac:dyDescent="0.25">
      <c r="A10" s="73" t="s">
        <v>95</v>
      </c>
      <c r="B10" s="29" t="s">
        <v>26</v>
      </c>
      <c r="C10" s="15" t="s">
        <v>96</v>
      </c>
      <c r="D10" s="77" t="s">
        <v>98</v>
      </c>
      <c r="E10" s="31"/>
      <c r="F10" s="31"/>
    </row>
    <row r="11" spans="1:7" x14ac:dyDescent="0.25">
      <c r="A11" s="73"/>
      <c r="B11" s="29" t="s">
        <v>27</v>
      </c>
      <c r="C11" s="51" t="s">
        <v>93</v>
      </c>
      <c r="D11" s="78"/>
      <c r="E11" s="31"/>
      <c r="F11" s="31"/>
    </row>
    <row r="12" spans="1:7" ht="180" x14ac:dyDescent="0.25">
      <c r="A12" s="73"/>
      <c r="B12" s="29" t="s">
        <v>28</v>
      </c>
      <c r="C12" s="35" t="s">
        <v>97</v>
      </c>
      <c r="D12" s="79"/>
      <c r="E12" s="31"/>
      <c r="F12" s="31"/>
    </row>
    <row r="13" spans="1:7" x14ac:dyDescent="0.25">
      <c r="A13" s="23"/>
    </row>
    <row r="14" spans="1:7" ht="15.75" thickBot="1" x14ac:dyDescent="0.3">
      <c r="A14" s="9" t="s">
        <v>4</v>
      </c>
      <c r="B14" s="52" t="s">
        <v>73</v>
      </c>
    </row>
    <row r="15" spans="1:7" ht="15.75" thickBot="1" x14ac:dyDescent="0.3">
      <c r="A15" s="9" t="s">
        <v>3</v>
      </c>
      <c r="B15">
        <v>0.1</v>
      </c>
    </row>
  </sheetData>
  <mergeCells count="8">
    <mergeCell ref="A10:A12"/>
    <mergeCell ref="E3:F3"/>
    <mergeCell ref="A2:F2"/>
    <mergeCell ref="A4:A6"/>
    <mergeCell ref="A7:A9"/>
    <mergeCell ref="D4:D6"/>
    <mergeCell ref="D7:D9"/>
    <mergeCell ref="D10:D12"/>
  </mergeCells>
  <phoneticPr fontId="4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DB404C-5A9C-417A-97E4-033B76745464}">
  <dimension ref="A1:I33"/>
  <sheetViews>
    <sheetView topLeftCell="A15" zoomScale="145" zoomScaleNormal="145" workbookViewId="0">
      <selection activeCell="H36" sqref="H36"/>
    </sheetView>
  </sheetViews>
  <sheetFormatPr defaultRowHeight="15" x14ac:dyDescent="0.25"/>
  <cols>
    <col min="1" max="1" width="12.85546875" bestFit="1" customWidth="1"/>
    <col min="3" max="3" width="15" bestFit="1" customWidth="1"/>
    <col min="5" max="5" width="40" customWidth="1"/>
    <col min="7" max="7" width="14.85546875" customWidth="1"/>
    <col min="8" max="8" width="36.28515625" customWidth="1"/>
  </cols>
  <sheetData>
    <row r="1" spans="1:9" x14ac:dyDescent="0.25">
      <c r="A1" s="3" t="s">
        <v>1</v>
      </c>
      <c r="B1" s="28" t="s">
        <v>29</v>
      </c>
      <c r="D1" s="6" t="s">
        <v>4</v>
      </c>
    </row>
    <row r="2" spans="1:9" ht="15.75" thickBot="1" x14ac:dyDescent="0.3">
      <c r="D2" s="9" t="s">
        <v>3</v>
      </c>
      <c r="E2">
        <v>0.1</v>
      </c>
    </row>
    <row r="3" spans="1:9" x14ac:dyDescent="0.25">
      <c r="A3" s="85" t="s">
        <v>30</v>
      </c>
      <c r="B3" s="85"/>
      <c r="C3" s="85"/>
      <c r="D3" s="85"/>
      <c r="E3" s="85"/>
      <c r="F3" s="85"/>
      <c r="G3" s="85"/>
      <c r="H3" s="85"/>
      <c r="I3" s="85"/>
    </row>
    <row r="4" spans="1:9" x14ac:dyDescent="0.25">
      <c r="A4" s="15"/>
      <c r="B4" s="15" t="s">
        <v>31</v>
      </c>
      <c r="C4" s="15" t="s">
        <v>32</v>
      </c>
    </row>
    <row r="5" spans="1:9" x14ac:dyDescent="0.25">
      <c r="A5" s="15" t="s">
        <v>100</v>
      </c>
      <c r="B5" s="15">
        <v>7</v>
      </c>
      <c r="C5" s="15" t="s">
        <v>115</v>
      </c>
    </row>
    <row r="6" spans="1:9" x14ac:dyDescent="0.25">
      <c r="A6" s="15" t="s">
        <v>101</v>
      </c>
      <c r="B6" s="15">
        <v>4</v>
      </c>
      <c r="C6" s="15" t="s">
        <v>115</v>
      </c>
    </row>
    <row r="7" spans="1:9" x14ac:dyDescent="0.25">
      <c r="A7" s="15" t="s">
        <v>102</v>
      </c>
      <c r="B7" s="15">
        <v>4</v>
      </c>
      <c r="C7" s="15" t="s">
        <v>115</v>
      </c>
    </row>
    <row r="10" spans="1:9" x14ac:dyDescent="0.25">
      <c r="D10" s="87" t="s">
        <v>119</v>
      </c>
      <c r="E10" s="87"/>
    </row>
    <row r="11" spans="1:9" x14ac:dyDescent="0.25">
      <c r="D11" s="86" t="s">
        <v>116</v>
      </c>
      <c r="E11" s="86"/>
      <c r="F11" s="86"/>
      <c r="G11" s="86"/>
      <c r="H11" s="86"/>
    </row>
    <row r="12" spans="1:9" x14ac:dyDescent="0.25">
      <c r="D12" s="18" t="s">
        <v>8</v>
      </c>
      <c r="E12" s="18" t="s">
        <v>34</v>
      </c>
      <c r="F12" s="18" t="s">
        <v>31</v>
      </c>
      <c r="G12" s="18" t="s">
        <v>32</v>
      </c>
      <c r="H12" s="56" t="s">
        <v>118</v>
      </c>
    </row>
    <row r="13" spans="1:9" x14ac:dyDescent="0.25">
      <c r="C13" s="88" t="s">
        <v>100</v>
      </c>
      <c r="D13" s="53">
        <v>1</v>
      </c>
      <c r="E13" s="53" t="s">
        <v>103</v>
      </c>
      <c r="F13" s="55">
        <v>10</v>
      </c>
      <c r="G13" s="55" t="s">
        <v>35</v>
      </c>
      <c r="H13" s="15" t="s">
        <v>104</v>
      </c>
    </row>
    <row r="14" spans="1:9" x14ac:dyDescent="0.25">
      <c r="C14" s="88"/>
      <c r="D14" s="53">
        <v>2</v>
      </c>
      <c r="E14" s="53" t="s">
        <v>105</v>
      </c>
      <c r="F14" s="55">
        <v>5</v>
      </c>
      <c r="G14" s="55" t="s">
        <v>35</v>
      </c>
      <c r="H14" s="15" t="s">
        <v>106</v>
      </c>
    </row>
    <row r="15" spans="1:9" x14ac:dyDescent="0.25">
      <c r="C15" s="88"/>
      <c r="D15" s="53">
        <v>3</v>
      </c>
      <c r="E15" s="53" t="s">
        <v>107</v>
      </c>
      <c r="F15" s="55">
        <v>8</v>
      </c>
      <c r="G15" s="55" t="s">
        <v>35</v>
      </c>
      <c r="H15" s="15" t="s">
        <v>108</v>
      </c>
    </row>
    <row r="16" spans="1:9" x14ac:dyDescent="0.25">
      <c r="C16" s="88"/>
      <c r="D16" s="53">
        <v>4</v>
      </c>
      <c r="E16" s="53" t="s">
        <v>109</v>
      </c>
      <c r="F16" s="55">
        <v>7</v>
      </c>
      <c r="G16" s="55" t="s">
        <v>35</v>
      </c>
      <c r="H16" s="15" t="s">
        <v>110</v>
      </c>
    </row>
    <row r="17" spans="3:8" x14ac:dyDescent="0.25">
      <c r="C17" s="88"/>
      <c r="D17" s="53">
        <v>5</v>
      </c>
      <c r="E17" s="53" t="s">
        <v>117</v>
      </c>
      <c r="F17" s="55">
        <v>3</v>
      </c>
      <c r="G17" s="55" t="s">
        <v>35</v>
      </c>
      <c r="H17" s="15" t="s">
        <v>120</v>
      </c>
    </row>
    <row r="18" spans="3:8" x14ac:dyDescent="0.25">
      <c r="C18" s="88"/>
      <c r="D18" s="53">
        <v>6</v>
      </c>
      <c r="E18" s="53" t="s">
        <v>111</v>
      </c>
      <c r="F18" s="55">
        <v>4</v>
      </c>
      <c r="G18" s="55" t="s">
        <v>35</v>
      </c>
      <c r="H18" s="15" t="s">
        <v>112</v>
      </c>
    </row>
    <row r="19" spans="3:8" x14ac:dyDescent="0.25">
      <c r="C19" s="88"/>
      <c r="D19" s="83" t="s">
        <v>136</v>
      </c>
      <c r="E19" s="84"/>
      <c r="F19" s="55" t="s">
        <v>113</v>
      </c>
      <c r="G19" s="55" t="s">
        <v>113</v>
      </c>
      <c r="H19" s="15" t="s">
        <v>114</v>
      </c>
    </row>
    <row r="20" spans="3:8" x14ac:dyDescent="0.25">
      <c r="C20" s="54"/>
    </row>
    <row r="21" spans="3:8" x14ac:dyDescent="0.25">
      <c r="C21" s="54"/>
    </row>
    <row r="22" spans="3:8" x14ac:dyDescent="0.25">
      <c r="C22" s="88" t="s">
        <v>101</v>
      </c>
      <c r="D22" s="53">
        <v>8</v>
      </c>
      <c r="E22" s="53" t="s">
        <v>121</v>
      </c>
      <c r="F22" s="55">
        <v>5</v>
      </c>
      <c r="G22" s="58" t="s">
        <v>35</v>
      </c>
      <c r="H22" s="15" t="s">
        <v>126</v>
      </c>
    </row>
    <row r="23" spans="3:8" x14ac:dyDescent="0.25">
      <c r="C23" s="88"/>
      <c r="D23" s="53">
        <v>9</v>
      </c>
      <c r="E23" s="53" t="s">
        <v>122</v>
      </c>
      <c r="F23" s="55">
        <v>4</v>
      </c>
      <c r="G23" s="58" t="s">
        <v>35</v>
      </c>
      <c r="H23" s="15" t="s">
        <v>127</v>
      </c>
    </row>
    <row r="24" spans="3:8" x14ac:dyDescent="0.25">
      <c r="C24" s="88"/>
      <c r="D24" s="53">
        <v>10</v>
      </c>
      <c r="E24" s="53" t="s">
        <v>123</v>
      </c>
      <c r="F24" s="55">
        <v>5</v>
      </c>
      <c r="G24" s="58" t="s">
        <v>35</v>
      </c>
      <c r="H24" s="15" t="s">
        <v>128</v>
      </c>
    </row>
    <row r="25" spans="3:8" x14ac:dyDescent="0.25">
      <c r="C25" s="88"/>
      <c r="D25" s="53">
        <v>11</v>
      </c>
      <c r="E25" s="53" t="s">
        <v>124</v>
      </c>
      <c r="F25" s="55">
        <v>3</v>
      </c>
      <c r="G25" s="58" t="s">
        <v>35</v>
      </c>
      <c r="H25" s="15" t="s">
        <v>129</v>
      </c>
    </row>
    <row r="26" spans="3:8" x14ac:dyDescent="0.25">
      <c r="C26" s="88"/>
      <c r="D26" s="53">
        <v>12</v>
      </c>
      <c r="E26" s="15" t="s">
        <v>125</v>
      </c>
      <c r="F26" s="57">
        <v>3</v>
      </c>
      <c r="G26" s="58" t="s">
        <v>35</v>
      </c>
      <c r="H26" s="15" t="s">
        <v>130</v>
      </c>
    </row>
    <row r="29" spans="3:8" x14ac:dyDescent="0.25">
      <c r="C29" s="82" t="s">
        <v>102</v>
      </c>
      <c r="D29" s="15">
        <v>13</v>
      </c>
      <c r="E29" s="15" t="s">
        <v>131</v>
      </c>
      <c r="F29" s="57">
        <v>6</v>
      </c>
      <c r="G29" s="57" t="s">
        <v>35</v>
      </c>
      <c r="H29" s="15" t="s">
        <v>137</v>
      </c>
    </row>
    <row r="30" spans="3:8" x14ac:dyDescent="0.25">
      <c r="C30" s="82"/>
      <c r="D30" s="15">
        <v>14</v>
      </c>
      <c r="E30" s="15" t="s">
        <v>132</v>
      </c>
      <c r="F30" s="57">
        <v>7</v>
      </c>
      <c r="G30" s="57" t="s">
        <v>35</v>
      </c>
      <c r="H30" s="15" t="s">
        <v>138</v>
      </c>
    </row>
    <row r="31" spans="3:8" x14ac:dyDescent="0.25">
      <c r="C31" s="82"/>
      <c r="D31" s="15">
        <v>15</v>
      </c>
      <c r="E31" s="15" t="s">
        <v>133</v>
      </c>
      <c r="F31" s="57">
        <v>4</v>
      </c>
      <c r="G31" s="57" t="s">
        <v>35</v>
      </c>
      <c r="H31" s="15" t="s">
        <v>139</v>
      </c>
    </row>
    <row r="32" spans="3:8" x14ac:dyDescent="0.25">
      <c r="C32" s="82"/>
      <c r="D32" s="15">
        <v>16</v>
      </c>
      <c r="E32" s="15" t="s">
        <v>134</v>
      </c>
      <c r="F32" s="57">
        <v>3</v>
      </c>
      <c r="G32" s="57" t="s">
        <v>35</v>
      </c>
      <c r="H32" s="15" t="s">
        <v>140</v>
      </c>
    </row>
    <row r="33" spans="3:8" x14ac:dyDescent="0.25">
      <c r="C33" s="82"/>
      <c r="D33" s="63" t="s">
        <v>135</v>
      </c>
      <c r="E33" s="64"/>
      <c r="F33" s="55" t="s">
        <v>113</v>
      </c>
      <c r="G33" s="55" t="s">
        <v>113</v>
      </c>
      <c r="H33" s="15" t="s">
        <v>141</v>
      </c>
    </row>
  </sheetData>
  <mergeCells count="8">
    <mergeCell ref="C29:C33"/>
    <mergeCell ref="D19:E19"/>
    <mergeCell ref="A3:I3"/>
    <mergeCell ref="D11:H11"/>
    <mergeCell ref="D10:E10"/>
    <mergeCell ref="C13:C19"/>
    <mergeCell ref="C22:C26"/>
    <mergeCell ref="D33:E33"/>
  </mergeCells>
  <phoneticPr fontId="4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BE295-25AF-4A34-B957-96EA9B03EEB2}">
  <dimension ref="A1:I9"/>
  <sheetViews>
    <sheetView zoomScale="175" zoomScaleNormal="175" workbookViewId="0">
      <selection activeCell="B2" sqref="B2"/>
    </sheetView>
  </sheetViews>
  <sheetFormatPr defaultRowHeight="15" x14ac:dyDescent="0.25"/>
  <cols>
    <col min="1" max="1" width="12.85546875" bestFit="1" customWidth="1"/>
    <col min="2" max="2" width="27.85546875" customWidth="1"/>
    <col min="3" max="3" width="15.42578125" bestFit="1" customWidth="1"/>
    <col min="4" max="4" width="16.28515625" customWidth="1"/>
    <col min="5" max="5" width="31.7109375" bestFit="1" customWidth="1"/>
    <col min="7" max="7" width="15.85546875" customWidth="1"/>
  </cols>
  <sheetData>
    <row r="1" spans="1:9" x14ac:dyDescent="0.25">
      <c r="A1" s="3" t="s">
        <v>1</v>
      </c>
      <c r="B1" s="59" t="s">
        <v>85</v>
      </c>
      <c r="C1" s="18" t="s">
        <v>4</v>
      </c>
      <c r="D1" s="15" t="s">
        <v>73</v>
      </c>
    </row>
    <row r="2" spans="1:9" x14ac:dyDescent="0.25">
      <c r="C2" s="18" t="s">
        <v>3</v>
      </c>
      <c r="D2" s="15">
        <v>0.1</v>
      </c>
    </row>
    <row r="3" spans="1:9" x14ac:dyDescent="0.25">
      <c r="A3" s="85" t="s">
        <v>36</v>
      </c>
      <c r="B3" s="85"/>
      <c r="C3" s="85"/>
      <c r="D3" s="85"/>
      <c r="E3" s="85"/>
      <c r="F3" s="85"/>
      <c r="G3" s="85"/>
      <c r="H3" s="85"/>
      <c r="I3" s="85"/>
    </row>
    <row r="4" spans="1:9" x14ac:dyDescent="0.25">
      <c r="A4" s="18" t="s">
        <v>33</v>
      </c>
      <c r="B4" s="18" t="s">
        <v>39</v>
      </c>
      <c r="C4" s="18" t="s">
        <v>38</v>
      </c>
      <c r="D4" s="18" t="s">
        <v>44</v>
      </c>
      <c r="E4" s="36">
        <f>SUM(C5:C8)</f>
        <v>0</v>
      </c>
    </row>
    <row r="5" spans="1:9" x14ac:dyDescent="0.25">
      <c r="A5" s="15">
        <v>1</v>
      </c>
      <c r="B5" s="15" t="s">
        <v>40</v>
      </c>
      <c r="C5" s="57" t="s">
        <v>113</v>
      </c>
      <c r="D5" s="15" t="s">
        <v>45</v>
      </c>
    </row>
    <row r="6" spans="1:9" x14ac:dyDescent="0.25">
      <c r="A6" s="15">
        <v>2</v>
      </c>
      <c r="B6" s="15" t="s">
        <v>41</v>
      </c>
      <c r="C6" s="57" t="s">
        <v>113</v>
      </c>
      <c r="D6" s="15" t="s">
        <v>45</v>
      </c>
    </row>
    <row r="7" spans="1:9" x14ac:dyDescent="0.25">
      <c r="A7" s="15">
        <v>3</v>
      </c>
      <c r="B7" s="15" t="s">
        <v>42</v>
      </c>
      <c r="C7" s="57" t="s">
        <v>113</v>
      </c>
      <c r="D7" s="15" t="s">
        <v>45</v>
      </c>
    </row>
    <row r="8" spans="1:9" x14ac:dyDescent="0.25">
      <c r="A8" s="15">
        <v>4</v>
      </c>
      <c r="B8" s="15" t="s">
        <v>43</v>
      </c>
      <c r="C8" s="57" t="s">
        <v>113</v>
      </c>
      <c r="D8" s="15" t="s">
        <v>45</v>
      </c>
    </row>
    <row r="9" spans="1:9" x14ac:dyDescent="0.25">
      <c r="A9" s="15">
        <v>5</v>
      </c>
      <c r="B9" s="15" t="s">
        <v>46</v>
      </c>
      <c r="C9" s="57" t="s">
        <v>113</v>
      </c>
      <c r="D9" s="15" t="s">
        <v>45</v>
      </c>
    </row>
  </sheetData>
  <mergeCells count="1">
    <mergeCell ref="A3:I3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F89EA9-8738-47D4-99D7-37696A80835F}">
  <dimension ref="A1:D10"/>
  <sheetViews>
    <sheetView tabSelected="1" zoomScale="175" zoomScaleNormal="175" workbookViewId="0">
      <selection activeCell="C13" sqref="C13"/>
    </sheetView>
  </sheetViews>
  <sheetFormatPr defaultRowHeight="15" x14ac:dyDescent="0.25"/>
  <cols>
    <col min="1" max="1" width="20.7109375" bestFit="1" customWidth="1"/>
    <col min="2" max="2" width="27.85546875" customWidth="1"/>
    <col min="3" max="3" width="15.42578125" bestFit="1" customWidth="1"/>
  </cols>
  <sheetData>
    <row r="1" spans="1:4" x14ac:dyDescent="0.25">
      <c r="A1" s="3" t="s">
        <v>1</v>
      </c>
      <c r="B1" s="28" t="s">
        <v>37</v>
      </c>
      <c r="C1" s="18" t="s">
        <v>4</v>
      </c>
      <c r="D1" s="15"/>
    </row>
    <row r="2" spans="1:4" x14ac:dyDescent="0.25">
      <c r="C2" s="18" t="s">
        <v>3</v>
      </c>
      <c r="D2" s="15">
        <v>0.1</v>
      </c>
    </row>
    <row r="4" spans="1:4" x14ac:dyDescent="0.25">
      <c r="A4" s="15"/>
      <c r="B4" s="15" t="s">
        <v>50</v>
      </c>
      <c r="C4" s="15" t="s">
        <v>49</v>
      </c>
    </row>
    <row r="5" spans="1:4" x14ac:dyDescent="0.25">
      <c r="A5" s="89" t="s">
        <v>47</v>
      </c>
      <c r="B5" s="15"/>
      <c r="C5" s="15"/>
    </row>
    <row r="6" spans="1:4" x14ac:dyDescent="0.25">
      <c r="A6" s="90"/>
      <c r="B6" s="15"/>
      <c r="C6" s="15"/>
    </row>
    <row r="7" spans="1:4" x14ac:dyDescent="0.25">
      <c r="A7" s="91"/>
      <c r="B7" s="15"/>
      <c r="C7" s="15"/>
    </row>
    <row r="8" spans="1:4" x14ac:dyDescent="0.25">
      <c r="A8" s="92" t="s">
        <v>48</v>
      </c>
      <c r="B8" s="15"/>
      <c r="C8" s="15"/>
    </row>
    <row r="9" spans="1:4" x14ac:dyDescent="0.25">
      <c r="A9" s="90"/>
      <c r="B9" s="15"/>
      <c r="C9" s="15"/>
    </row>
    <row r="10" spans="1:4" x14ac:dyDescent="0.25">
      <c r="A10" s="91"/>
      <c r="B10" s="15"/>
      <c r="C10" s="15"/>
    </row>
  </sheetData>
  <mergeCells count="2">
    <mergeCell ref="A5:A7"/>
    <mergeCell ref="A8:A10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299F76-035D-4922-9737-293AF6D18712}">
  <dimension ref="A1:C18"/>
  <sheetViews>
    <sheetView workbookViewId="0">
      <selection activeCell="B2" sqref="B2"/>
    </sheetView>
  </sheetViews>
  <sheetFormatPr defaultRowHeight="15" x14ac:dyDescent="0.25"/>
  <cols>
    <col min="1" max="1" width="20.7109375" bestFit="1" customWidth="1"/>
    <col min="2" max="2" width="36.85546875" customWidth="1"/>
    <col min="3" max="3" width="33.5703125" customWidth="1"/>
  </cols>
  <sheetData>
    <row r="1" spans="1:3" x14ac:dyDescent="0.25">
      <c r="A1" s="3" t="s">
        <v>1</v>
      </c>
      <c r="B1" s="28" t="s">
        <v>85</v>
      </c>
      <c r="C1" s="18" t="s">
        <v>4</v>
      </c>
    </row>
    <row r="2" spans="1:3" x14ac:dyDescent="0.25">
      <c r="C2" s="18" t="s">
        <v>3</v>
      </c>
    </row>
    <row r="5" spans="1:3" ht="17.25" x14ac:dyDescent="0.25">
      <c r="A5" s="37" t="s">
        <v>51</v>
      </c>
      <c r="B5" s="37" t="s">
        <v>52</v>
      </c>
      <c r="C5" s="37" t="s">
        <v>21</v>
      </c>
    </row>
    <row r="6" spans="1:3" ht="69" x14ac:dyDescent="0.25">
      <c r="A6" s="60" t="s">
        <v>53</v>
      </c>
      <c r="B6" s="38" t="s">
        <v>142</v>
      </c>
      <c r="C6" s="39" t="s">
        <v>159</v>
      </c>
    </row>
    <row r="7" spans="1:3" ht="69" x14ac:dyDescent="0.25">
      <c r="A7" s="60" t="s">
        <v>54</v>
      </c>
      <c r="B7" s="39" t="s">
        <v>143</v>
      </c>
      <c r="C7" s="40" t="s">
        <v>158</v>
      </c>
    </row>
    <row r="8" spans="1:3" ht="51.75" x14ac:dyDescent="0.25">
      <c r="A8" s="60" t="s">
        <v>55</v>
      </c>
      <c r="B8" s="38" t="s">
        <v>144</v>
      </c>
      <c r="C8" s="40" t="s">
        <v>157</v>
      </c>
    </row>
    <row r="9" spans="1:3" ht="51.75" x14ac:dyDescent="0.25">
      <c r="A9" s="60" t="s">
        <v>56</v>
      </c>
      <c r="B9" s="39" t="s">
        <v>145</v>
      </c>
      <c r="C9" s="39" t="s">
        <v>160</v>
      </c>
    </row>
    <row r="10" spans="1:3" ht="51.75" x14ac:dyDescent="0.25">
      <c r="A10" s="60" t="s">
        <v>57</v>
      </c>
      <c r="B10" s="39" t="s">
        <v>146</v>
      </c>
      <c r="C10" s="39" t="s">
        <v>161</v>
      </c>
    </row>
    <row r="11" spans="1:3" ht="51.75" x14ac:dyDescent="0.25">
      <c r="A11" s="60" t="s">
        <v>58</v>
      </c>
      <c r="B11" s="39" t="s">
        <v>147</v>
      </c>
      <c r="C11" s="39" t="s">
        <v>162</v>
      </c>
    </row>
    <row r="12" spans="1:3" ht="69" x14ac:dyDescent="0.25">
      <c r="A12" s="60" t="s">
        <v>59</v>
      </c>
      <c r="B12" s="38" t="s">
        <v>148</v>
      </c>
      <c r="C12" s="39" t="s">
        <v>163</v>
      </c>
    </row>
    <row r="13" spans="1:3" ht="51.75" x14ac:dyDescent="0.25">
      <c r="A13" s="60" t="s">
        <v>60</v>
      </c>
      <c r="B13" s="38" t="s">
        <v>149</v>
      </c>
      <c r="C13" s="39" t="s">
        <v>164</v>
      </c>
    </row>
    <row r="14" spans="1:3" ht="51.75" x14ac:dyDescent="0.25">
      <c r="A14" s="60" t="s">
        <v>61</v>
      </c>
      <c r="B14" s="39" t="s">
        <v>150</v>
      </c>
      <c r="C14" s="39" t="s">
        <v>165</v>
      </c>
    </row>
    <row r="15" spans="1:3" ht="51.75" x14ac:dyDescent="0.25">
      <c r="A15" s="60" t="s">
        <v>62</v>
      </c>
      <c r="B15" s="39" t="s">
        <v>151</v>
      </c>
      <c r="C15" s="39" t="s">
        <v>166</v>
      </c>
    </row>
    <row r="16" spans="1:3" ht="51.75" x14ac:dyDescent="0.3">
      <c r="A16" s="61" t="s">
        <v>63</v>
      </c>
      <c r="B16" s="62" t="s">
        <v>152</v>
      </c>
      <c r="C16" s="39" t="s">
        <v>167</v>
      </c>
    </row>
    <row r="17" spans="1:3" ht="51.75" x14ac:dyDescent="0.3">
      <c r="A17" s="61" t="s">
        <v>155</v>
      </c>
      <c r="B17" s="62" t="s">
        <v>153</v>
      </c>
      <c r="C17" s="39" t="s">
        <v>168</v>
      </c>
    </row>
    <row r="18" spans="1:3" ht="51.75" x14ac:dyDescent="0.3">
      <c r="A18" s="61" t="s">
        <v>156</v>
      </c>
      <c r="B18" s="62" t="s">
        <v>154</v>
      </c>
      <c r="C18" s="39" t="s">
        <v>169</v>
      </c>
    </row>
  </sheetData>
  <phoneticPr fontId="4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3158EA-1F66-4D72-ADC6-6B814485E2C5}">
  <dimension ref="A1:H13"/>
  <sheetViews>
    <sheetView workbookViewId="0">
      <selection activeCell="D3" sqref="D3"/>
    </sheetView>
  </sheetViews>
  <sheetFormatPr defaultRowHeight="15" x14ac:dyDescent="0.25"/>
  <cols>
    <col min="1" max="1" width="20.7109375" bestFit="1" customWidth="1"/>
    <col min="2" max="2" width="27.85546875" customWidth="1"/>
    <col min="3" max="3" width="18.5703125" customWidth="1"/>
    <col min="4" max="4" width="17.85546875" customWidth="1"/>
    <col min="5" max="5" width="18.5703125" customWidth="1"/>
    <col min="6" max="6" width="16.5703125" customWidth="1"/>
    <col min="7" max="7" width="27.85546875" customWidth="1"/>
    <col min="8" max="8" width="28.140625" customWidth="1"/>
  </cols>
  <sheetData>
    <row r="1" spans="1:8" x14ac:dyDescent="0.25">
      <c r="A1" s="3" t="s">
        <v>1</v>
      </c>
      <c r="B1" s="28" t="s">
        <v>85</v>
      </c>
      <c r="C1" s="18" t="s">
        <v>4</v>
      </c>
      <c r="D1" t="s">
        <v>73</v>
      </c>
    </row>
    <row r="2" spans="1:8" x14ac:dyDescent="0.25">
      <c r="C2" s="18" t="s">
        <v>3</v>
      </c>
      <c r="D2">
        <v>0.1</v>
      </c>
    </row>
    <row r="4" spans="1:8" x14ac:dyDescent="0.25">
      <c r="A4" s="41" t="s">
        <v>33</v>
      </c>
      <c r="B4" s="14" t="s">
        <v>64</v>
      </c>
      <c r="C4" s="14" t="s">
        <v>65</v>
      </c>
      <c r="D4" s="14" t="s">
        <v>66</v>
      </c>
      <c r="E4" s="14" t="s">
        <v>67</v>
      </c>
      <c r="F4" s="14" t="s">
        <v>68</v>
      </c>
      <c r="G4" s="14" t="s">
        <v>69</v>
      </c>
      <c r="H4" s="42" t="s">
        <v>70</v>
      </c>
    </row>
    <row r="5" spans="1:8" x14ac:dyDescent="0.25">
      <c r="A5" s="43"/>
      <c r="B5" s="15"/>
      <c r="C5" s="15"/>
      <c r="D5" s="15"/>
      <c r="E5" s="15"/>
      <c r="F5" s="15"/>
      <c r="G5" s="15"/>
      <c r="H5" s="44"/>
    </row>
    <row r="6" spans="1:8" x14ac:dyDescent="0.25">
      <c r="A6" s="43"/>
      <c r="B6" s="15"/>
      <c r="C6" s="15"/>
      <c r="D6" s="15"/>
      <c r="E6" s="15"/>
      <c r="F6" s="15"/>
      <c r="G6" s="15"/>
      <c r="H6" s="44"/>
    </row>
    <row r="7" spans="1:8" x14ac:dyDescent="0.25">
      <c r="A7" s="43"/>
      <c r="B7" s="15"/>
      <c r="C7" s="15"/>
      <c r="D7" s="15"/>
      <c r="E7" s="15"/>
      <c r="F7" s="15"/>
      <c r="G7" s="15"/>
      <c r="H7" s="44"/>
    </row>
    <row r="8" spans="1:8" x14ac:dyDescent="0.25">
      <c r="A8" s="43"/>
      <c r="B8" s="15"/>
      <c r="C8" s="15"/>
      <c r="D8" s="15"/>
      <c r="E8" s="15"/>
      <c r="F8" s="15"/>
      <c r="G8" s="15"/>
      <c r="H8" s="44"/>
    </row>
    <row r="9" spans="1:8" x14ac:dyDescent="0.25">
      <c r="A9" s="43"/>
      <c r="B9" s="15"/>
      <c r="C9" s="15"/>
      <c r="D9" s="15"/>
      <c r="E9" s="15"/>
      <c r="F9" s="15"/>
      <c r="G9" s="15"/>
      <c r="H9" s="44"/>
    </row>
    <row r="10" spans="1:8" x14ac:dyDescent="0.25">
      <c r="A10" s="43"/>
      <c r="B10" s="15"/>
      <c r="C10" s="15"/>
      <c r="D10" s="15"/>
      <c r="E10" s="15"/>
      <c r="F10" s="15"/>
      <c r="G10" s="15"/>
      <c r="H10" s="44"/>
    </row>
    <row r="11" spans="1:8" x14ac:dyDescent="0.25">
      <c r="A11" s="43"/>
      <c r="B11" s="15"/>
      <c r="C11" s="15"/>
      <c r="D11" s="15"/>
      <c r="E11" s="15"/>
      <c r="F11" s="15"/>
      <c r="G11" s="15"/>
      <c r="H11" s="44"/>
    </row>
    <row r="12" spans="1:8" x14ac:dyDescent="0.25">
      <c r="A12" s="43"/>
      <c r="B12" s="15"/>
      <c r="C12" s="15"/>
      <c r="D12" s="15"/>
      <c r="E12" s="15"/>
      <c r="F12" s="15"/>
      <c r="G12" s="15"/>
      <c r="H12" s="44"/>
    </row>
    <row r="13" spans="1:8" x14ac:dyDescent="0.25">
      <c r="A13" s="45"/>
      <c r="B13" s="16"/>
      <c r="C13" s="16"/>
      <c r="D13" s="16"/>
      <c r="E13" s="16"/>
      <c r="F13" s="16"/>
      <c r="G13" s="16"/>
      <c r="H13" s="46"/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MauForm</vt:lpstr>
      <vt:lpstr>Tên dự án</vt:lpstr>
      <vt:lpstr>Người quản lý dự án</vt:lpstr>
      <vt:lpstr>Muc tiêu dự án</vt:lpstr>
      <vt:lpstr>Phạm vi dự án</vt:lpstr>
      <vt:lpstr>Thời gian dự kiến</vt:lpstr>
      <vt:lpstr>Chi phí</vt:lpstr>
      <vt:lpstr>Ràng buộc</vt:lpstr>
      <vt:lpstr>Rủi ro</vt:lpstr>
      <vt:lpstr>Các bên liên quan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Hoàng Khuê</dc:creator>
  <cp:lastModifiedBy>khoa dz</cp:lastModifiedBy>
  <dcterms:created xsi:type="dcterms:W3CDTF">2025-10-21T07:03:33Z</dcterms:created>
  <dcterms:modified xsi:type="dcterms:W3CDTF">2025-11-15T03:27:04Z</dcterms:modified>
</cp:coreProperties>
</file>